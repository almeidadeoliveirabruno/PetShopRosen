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foa\Sexto Periodo\Orientação A objetos 2\PetShopTrabalho\Petshop\Petshop\Petshop\Script\"/>
    </mc:Choice>
  </mc:AlternateContent>
  <xr:revisionPtr revIDLastSave="0" documentId="13_ncr:1_{879A7D47-D7CA-4017-9C74-DE83F087B507}" xr6:coauthVersionLast="47" xr6:coauthVersionMax="47" xr10:uidLastSave="{00000000-0000-0000-0000-000000000000}"/>
  <bookViews>
    <workbookView xWindow="-108" yWindow="-108" windowWidth="23256" windowHeight="12456" tabRatio="973" xr2:uid="{B6A99B9F-3357-4168-AA35-31BAC46B94DB}"/>
  </bookViews>
  <sheets>
    <sheet name="Planilha1" sheetId="1" r:id="rId1"/>
    <sheet name="Tabelas Dinamicas" sheetId="2" r:id="rId2"/>
  </sheets>
  <calcPr calcId="191029"/>
  <pivotCaches>
    <pivotCache cacheId="1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</calcChain>
</file>

<file path=xl/sharedStrings.xml><?xml version="1.0" encoding="utf-8"?>
<sst xmlns="http://schemas.openxmlformats.org/spreadsheetml/2006/main" count="177" uniqueCount="82">
  <si>
    <t>Nome do Animal</t>
  </si>
  <si>
    <t>Espécie</t>
  </si>
  <si>
    <t>Raça</t>
  </si>
  <si>
    <t>Data de Nascimento</t>
  </si>
  <si>
    <t>Nome do Dono</t>
  </si>
  <si>
    <t>Email do Dono</t>
  </si>
  <si>
    <t>Telefone do Dono</t>
  </si>
  <si>
    <t>Endereço do Dono</t>
  </si>
  <si>
    <t>Plano do Animal</t>
  </si>
  <si>
    <t>Preço do Plano</t>
  </si>
  <si>
    <t>Descrição do Plano</t>
  </si>
  <si>
    <t>Rex</t>
  </si>
  <si>
    <t>Cachorro</t>
  </si>
  <si>
    <t>Labrador</t>
  </si>
  <si>
    <t>João Silva</t>
  </si>
  <si>
    <t>joao.silva@email.com</t>
  </si>
  <si>
    <t>(11) 98765-4321</t>
  </si>
  <si>
    <t>Rua A, 123, São Paulo</t>
  </si>
  <si>
    <t>Básico</t>
  </si>
  <si>
    <t>Plano inicial</t>
  </si>
  <si>
    <t>Mia</t>
  </si>
  <si>
    <t>Gato</t>
  </si>
  <si>
    <t>Siamês</t>
  </si>
  <si>
    <t>Ana Souza</t>
  </si>
  <si>
    <t>ana.souza@email.com</t>
  </si>
  <si>
    <t>(21) 91234-5678</t>
  </si>
  <si>
    <t>Av. B, 456, Rio de Janeiro</t>
  </si>
  <si>
    <t>Premium</t>
  </si>
  <si>
    <t>Plano com consultas regulares</t>
  </si>
  <si>
    <t>Bolt</t>
  </si>
  <si>
    <t>Beagle</t>
  </si>
  <si>
    <t>Carla Mendes</t>
  </si>
  <si>
    <t>carla.mendes@email.com</t>
  </si>
  <si>
    <t>(31) 99876-5432</t>
  </si>
  <si>
    <t>Rua C, 789, Belo Horizonte</t>
  </si>
  <si>
    <t>Ouro</t>
  </si>
  <si>
    <t>Plano completo com vacinas</t>
  </si>
  <si>
    <t>Luna</t>
  </si>
  <si>
    <t>Persa</t>
  </si>
  <si>
    <t>Pedro Lima</t>
  </si>
  <si>
    <t>pedro.lima@email.com</t>
  </si>
  <si>
    <t>(41) 98712-3456</t>
  </si>
  <si>
    <t>Av. D, 321, Curitiba</t>
  </si>
  <si>
    <t>Thor</t>
  </si>
  <si>
    <t>Poodle</t>
  </si>
  <si>
    <t>Júlia Santos</t>
  </si>
  <si>
    <t>julia.santos@email.com</t>
  </si>
  <si>
    <t>(51) 91234-5678</t>
  </si>
  <si>
    <t>Rua E, 654, Porto Alegre</t>
  </si>
  <si>
    <t>Nala</t>
  </si>
  <si>
    <t>Maine Coon</t>
  </si>
  <si>
    <t>Marcos Rocha</t>
  </si>
  <si>
    <t>marcos.rocha@email.com</t>
  </si>
  <si>
    <t>(61) 98765-4321</t>
  </si>
  <si>
    <t>Av. F, 987, Brasília</t>
  </si>
  <si>
    <t>Max</t>
  </si>
  <si>
    <t>Kitty</t>
  </si>
  <si>
    <t>Spike</t>
  </si>
  <si>
    <t>Marley</t>
  </si>
  <si>
    <t>Bella</t>
  </si>
  <si>
    <t>Cleo</t>
  </si>
  <si>
    <t>Rexy</t>
  </si>
  <si>
    <t>Husky</t>
  </si>
  <si>
    <t>Lucas Pereira</t>
  </si>
  <si>
    <t>lucas.pereira@email.com</t>
  </si>
  <si>
    <t>(71) 91234-5678</t>
  </si>
  <si>
    <t>Rua G, 159, Salvador</t>
  </si>
  <si>
    <t>Snoop</t>
  </si>
  <si>
    <t>Simba</t>
  </si>
  <si>
    <t>Rótulos de Linha</t>
  </si>
  <si>
    <t>Total Geral</t>
  </si>
  <si>
    <t>Rótulos de Coluna</t>
  </si>
  <si>
    <t>Idade</t>
  </si>
  <si>
    <t>Faixa Etária</t>
  </si>
  <si>
    <t>Adulto</t>
  </si>
  <si>
    <t>Filhote</t>
  </si>
  <si>
    <t>Idoso</t>
  </si>
  <si>
    <t>Contagem de Faixa Etária</t>
  </si>
  <si>
    <t>Contagem de Nome do Animal</t>
  </si>
  <si>
    <t>Clientes com mais Animais</t>
  </si>
  <si>
    <t>Soma de Preço do Plano</t>
  </si>
  <si>
    <t>Clientes que atingiram a meta de R$ 500,00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</si>
</sst>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8" formatCode="&quot;R$&quot;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4" fillId="0" borderId="1" xfId="2" applyBorder="1" applyAlignment="1">
      <alignment horizontal="center" wrapText="1"/>
    </xf>
    <xf numFmtId="0" fontId="0" fillId="0" borderId="1" xfId="0" applyBorder="1"/>
    <xf numFmtId="168" fontId="0" fillId="0" borderId="1" xfId="1" applyNumberFormat="1" applyFont="1" applyBorder="1" applyAlignment="1">
      <alignment horizontal="center" wrapText="1"/>
    </xf>
    <xf numFmtId="168" fontId="0" fillId="0" borderId="0" xfId="1" applyNumberFormat="1" applyFont="1"/>
    <xf numFmtId="0" fontId="5" fillId="2" borderId="2" xfId="0" applyFont="1" applyFill="1" applyBorder="1" applyAlignment="1">
      <alignment horizontal="center" vertical="center" wrapText="1"/>
    </xf>
    <xf numFmtId="0" fontId="0" fillId="2" borderId="2" xfId="0" applyFont="1" applyFill="1" applyBorder="1" applyAlignment="1">
      <alignment horizontal="center" vertical="center" wrapText="1"/>
    </xf>
    <xf numFmtId="0" fontId="0" fillId="2" borderId="0" xfId="0" applyFont="1" applyFill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3" xfId="0" applyFont="1" applyFill="1" applyBorder="1" applyAlignment="1">
      <alignment horizontal="center" vertical="center" wrapText="1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3" fillId="0" borderId="1" xfId="0" applyFont="1" applyBorder="1" applyAlignment="1">
      <alignment horizontal="center" wrapText="1"/>
    </xf>
    <xf numFmtId="168" fontId="3" fillId="0" borderId="1" xfId="1" applyNumberFormat="1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</cellXfs>
  <cellStyles count="3">
    <cellStyle name="Hiperlink" xfId="2" builtinId="8"/>
    <cellStyle name="Moeda" xfId="1" builtinId="4"/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&quot;R$&quot;\ #,##0.00"/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 Almeida de Oliveira" refreshedDate="45970.176249537035" createdVersion="8" refreshedVersion="8" minRefreshableVersion="3" recordCount="15" xr:uid="{3CA6881D-06EF-4C12-8291-4A6A4E72C5AF}">
  <cacheSource type="worksheet">
    <worksheetSource name="Registros"/>
  </cacheSource>
  <cacheFields count="13">
    <cacheField name="Nome do Animal" numFmtId="0">
      <sharedItems/>
    </cacheField>
    <cacheField name="Espécie" numFmtId="0">
      <sharedItems count="2">
        <s v="Cachorro"/>
        <s v="Gato"/>
      </sharedItems>
    </cacheField>
    <cacheField name="Raça" numFmtId="0">
      <sharedItems/>
    </cacheField>
    <cacheField name="Data de Nascimento" numFmtId="14">
      <sharedItems containsSemiMixedTypes="0" containsNonDate="0" containsDate="1" containsString="0" minDate="2017-07-07T00:00:00" maxDate="2024-04-15T00:00:00"/>
    </cacheField>
    <cacheField name="Nome do Dono" numFmtId="0">
      <sharedItems count="7">
        <s v="João Silva"/>
        <s v="Ana Souza"/>
        <s v="Carla Mendes"/>
        <s v="Pedro Lima"/>
        <s v="Júlia Santos"/>
        <s v="Marcos Rocha"/>
        <s v="Lucas Pereira"/>
      </sharedItems>
    </cacheField>
    <cacheField name="Email do Dono" numFmtId="0">
      <sharedItems/>
    </cacheField>
    <cacheField name="Telefone do Dono" numFmtId="0">
      <sharedItems/>
    </cacheField>
    <cacheField name="Endereço do Dono" numFmtId="0">
      <sharedItems/>
    </cacheField>
    <cacheField name="Plano do Animal" numFmtId="0">
      <sharedItems/>
    </cacheField>
    <cacheField name="Preço do Plano" numFmtId="168">
      <sharedItems containsSemiMixedTypes="0" containsString="0" containsNumber="1" containsInteger="1" minValue="100" maxValue="300" count="3">
        <n v="100"/>
        <n v="200"/>
        <n v="300"/>
      </sharedItems>
    </cacheField>
    <cacheField name="Descrição do Plano" numFmtId="0">
      <sharedItems/>
    </cacheField>
    <cacheField name="Idade" numFmtId="0">
      <sharedItems containsSemiMixedTypes="0" containsString="0" containsNumber="1" containsInteger="1" minValue="1" maxValue="8"/>
    </cacheField>
    <cacheField name="Faixa Etária" numFmtId="0">
      <sharedItems count="3">
        <s v="Adulto"/>
        <s v="Idoso"/>
        <s v="Filhote"/>
      </sharedItems>
    </cacheField>
  </cacheFields>
  <extLst>
    <ext xmlns:x14="http://schemas.microsoft.com/office/spreadsheetml/2009/9/main" uri="{725AE2AE-9491-48be-B2B4-4EB974FC3084}">
      <x14:pivotCacheDefinition pivotCacheId="7771452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Rex"/>
    <x v="0"/>
    <s v="Labrador"/>
    <d v="2019-03-15T00:00:00"/>
    <x v="0"/>
    <s v="joao.silva@email.com"/>
    <s v="(11) 98765-4321"/>
    <s v="Rua A, 123, São Paulo"/>
    <s v="Básico"/>
    <x v="0"/>
    <s v="Plano inicial"/>
    <n v="6"/>
    <x v="0"/>
  </r>
  <r>
    <s v="Mia"/>
    <x v="1"/>
    <s v="Siamês"/>
    <d v="2020-07-22T00:00:00"/>
    <x v="1"/>
    <s v="ana.souza@email.com"/>
    <s v="(21) 91234-5678"/>
    <s v="Av. B, 456, Rio de Janeiro"/>
    <s v="Premium"/>
    <x v="1"/>
    <s v="Plano com consultas regulares"/>
    <n v="5"/>
    <x v="0"/>
  </r>
  <r>
    <s v="Bolt"/>
    <x v="0"/>
    <s v="Beagle"/>
    <d v="2018-11-05T00:00:00"/>
    <x v="2"/>
    <s v="carla.mendes@email.com"/>
    <s v="(31) 99876-5432"/>
    <s v="Rua C, 789, Belo Horizonte"/>
    <s v="Ouro"/>
    <x v="2"/>
    <s v="Plano completo com vacinas"/>
    <n v="7"/>
    <x v="0"/>
  </r>
  <r>
    <s v="Luna"/>
    <x v="1"/>
    <s v="Persa"/>
    <d v="2018-01-30T00:00:00"/>
    <x v="3"/>
    <s v="pedro.lima@email.com"/>
    <s v="(41) 98712-3456"/>
    <s v="Av. D, 321, Curitiba"/>
    <s v="Básico"/>
    <x v="0"/>
    <s v="Plano inicial"/>
    <n v="7"/>
    <x v="0"/>
  </r>
  <r>
    <s v="Thor"/>
    <x v="0"/>
    <s v="Poodle"/>
    <d v="2021-06-12T00:00:00"/>
    <x v="4"/>
    <s v="julia.santos@email.com"/>
    <s v="(51) 91234-5678"/>
    <s v="Rua E, 654, Porto Alegre"/>
    <s v="Premium"/>
    <x v="1"/>
    <s v="Plano com consultas regulares"/>
    <n v="4"/>
    <x v="0"/>
  </r>
  <r>
    <s v="Nala"/>
    <x v="1"/>
    <s v="Maine Coon"/>
    <d v="2017-09-03T00:00:00"/>
    <x v="5"/>
    <s v="marcos.rocha@email.com"/>
    <s v="(61) 98765-4321"/>
    <s v="Av. F, 987, Brasília"/>
    <s v="Ouro"/>
    <x v="2"/>
    <s v="Plano completo com vacinas"/>
    <n v="8"/>
    <x v="1"/>
  </r>
  <r>
    <s v="Max"/>
    <x v="0"/>
    <s v="Labrador"/>
    <d v="2020-02-18T00:00:00"/>
    <x v="0"/>
    <s v="joao.silva@email.com"/>
    <s v="(11) 98765-4321"/>
    <s v="Rua A, 123, São Paulo"/>
    <s v="Premium"/>
    <x v="1"/>
    <s v="Plano com consultas regulares"/>
    <n v="5"/>
    <x v="0"/>
  </r>
  <r>
    <s v="Kitty"/>
    <x v="1"/>
    <s v="Siamês"/>
    <d v="2021-12-25T00:00:00"/>
    <x v="1"/>
    <s v="ana.souza@email.com"/>
    <s v="(21) 91234-5678"/>
    <s v="Av. B, 456, Rio de Janeiro"/>
    <s v="Ouro"/>
    <x v="2"/>
    <s v="Plano completo com vacinas"/>
    <n v="3"/>
    <x v="0"/>
  </r>
  <r>
    <s v="Spike"/>
    <x v="0"/>
    <s v="Beagle"/>
    <d v="2019-08-09T00:00:00"/>
    <x v="2"/>
    <s v="carla.mendes@email.com"/>
    <s v="(31) 99876-5432"/>
    <s v="Rua C, 789, Belo Horizonte"/>
    <s v="Básico"/>
    <x v="0"/>
    <s v="Plano inicial"/>
    <n v="6"/>
    <x v="0"/>
  </r>
  <r>
    <s v="Marley"/>
    <x v="0"/>
    <s v="Poodle"/>
    <d v="2024-04-14T00:00:00"/>
    <x v="4"/>
    <s v="julia.santos@email.com"/>
    <s v="(51) 91234-5678"/>
    <s v="Rua E, 654, Porto Alegre"/>
    <s v="Ouro"/>
    <x v="2"/>
    <s v="Plano completo com vacinas"/>
    <n v="1"/>
    <x v="2"/>
  </r>
  <r>
    <s v="Bella"/>
    <x v="1"/>
    <s v="Persa"/>
    <d v="2018-05-17T00:00:00"/>
    <x v="3"/>
    <s v="pedro.lima@email.com"/>
    <s v="(41) 98712-3456"/>
    <s v="Av. D, 321, Curitiba"/>
    <s v="Premium"/>
    <x v="1"/>
    <s v="Plano com consultas regulares"/>
    <n v="7"/>
    <x v="0"/>
  </r>
  <r>
    <s v="Cleo"/>
    <x v="1"/>
    <s v="Maine Coon"/>
    <d v="2019-10-29T00:00:00"/>
    <x v="5"/>
    <s v="marcos.rocha@email.com"/>
    <s v="(61) 98765-4321"/>
    <s v="Av. F, 987, Brasília"/>
    <s v="Básico"/>
    <x v="0"/>
    <s v="Plano inicial"/>
    <n v="6"/>
    <x v="0"/>
  </r>
  <r>
    <s v="Rexy"/>
    <x v="0"/>
    <s v="Husky"/>
    <d v="2020-01-11T00:00:00"/>
    <x v="6"/>
    <s v="lucas.pereira@email.com"/>
    <s v="(71) 91234-5678"/>
    <s v="Rua G, 159, Salvador"/>
    <s v="Ouro"/>
    <x v="2"/>
    <s v="Plano completo com vacinas"/>
    <n v="5"/>
    <x v="0"/>
  </r>
  <r>
    <s v="Snoop"/>
    <x v="0"/>
    <s v="Beagle"/>
    <d v="2017-07-07T00:00:00"/>
    <x v="2"/>
    <s v="carla.mendes@email.com"/>
    <s v="(31) 99876-5432"/>
    <s v="Rua C, 789, Belo Horizonte"/>
    <s v="Premium"/>
    <x v="1"/>
    <s v="Plano com consultas regulares"/>
    <n v="8"/>
    <x v="1"/>
  </r>
  <r>
    <s v="Simba"/>
    <x v="1"/>
    <s v="Siamês"/>
    <d v="2022-03-02T00:00:00"/>
    <x v="1"/>
    <s v="ana.souza@email.com"/>
    <s v="(21) 91234-5678"/>
    <s v="Av. B, 456, Rio de Janeiro"/>
    <s v="Básico"/>
    <x v="0"/>
    <s v="Plano inicial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85AC1D-271F-49B3-9169-9BD9999CDA11}" name="Tabela dinâmica4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1:F15" firstHeaderRow="1" firstDataRow="1" firstDataCol="1"/>
  <pivotFields count="13">
    <pivotField showAll="0"/>
    <pivotField showAll="0"/>
    <pivotField showAll="0"/>
    <pivotField numFmtId="14" showAll="0"/>
    <pivotField axis="axisRow" showAll="0" measureFilter="1" sortType="descending">
      <items count="8">
        <item x="1"/>
        <item x="2"/>
        <item x="0"/>
        <item x="4"/>
        <item x="6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numFmtId="168" showAll="0" sumSubtotal="1">
      <items count="4">
        <item x="0"/>
        <item x="1"/>
        <item x="2"/>
        <item t="sum"/>
      </items>
    </pivotField>
    <pivotField showAll="0"/>
    <pivotField showAll="0"/>
    <pivotField showAll="0"/>
  </pivotFields>
  <rowFields count="1">
    <field x="4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Soma de Preço do Plano" fld="9" baseField="0" baseItem="0" numFmtId="168"/>
  </dataFields>
  <formats count="12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4" type="button" dataOnly="0" labelOnly="1" outline="0" axis="axisRow" fieldPosition="0"/>
    </format>
    <format dxfId="27">
      <pivotArea dataOnly="0" labelOnly="1" fieldPosition="0">
        <references count="1">
          <reference field="4" count="3">
            <x v="0"/>
            <x v="1"/>
            <x v="3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axis="axisValues" fieldPosition="0"/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4" count="3">
            <x v="0"/>
            <x v="1"/>
            <x v="3"/>
          </reference>
        </references>
      </pivotArea>
    </format>
    <format dxfId="9">
      <pivotArea dataOnly="0" labelOnly="1" grandRow="1" outline="0" fieldPosition="0"/>
    </format>
    <format dxfId="5">
      <pivotArea outline="0" collapsedLevelsAreSubtotals="1" fieldPosition="0"/>
    </format>
    <format dxfId="4">
      <pivotArea dataOnly="0" labelOnly="1" fieldPosition="0">
        <references count="1">
          <reference field="4" count="3">
            <x v="0"/>
            <x v="1"/>
            <x v="3"/>
          </reference>
        </references>
      </pivotArea>
    </format>
    <format dxfId="3">
      <pivotArea dataOnly="0" labelOnly="1" grandRow="1" outline="0" fieldPosition="0"/>
    </format>
  </formats>
  <pivotTableStyleInfo name="PivotStyleLight20" showRowHeaders="1" showColHeaders="1" showRowStripes="0" showColStripes="0" showLastColumn="1"/>
  <filters count="1">
    <filter fld="4" type="valueGreaterThanOrEqual" evalOrder="-1" id="1" iMeasureFld="0">
      <autoFilter ref="A1">
        <filterColumn colId="0">
          <customFilters>
            <customFilter operator="greaterThanOrEqual" val="5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831293-E5D7-447E-ABB4-D4EEFE84881C}" name="Tabela dinâmica3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B11:C19" firstHeaderRow="1" firstDataRow="1" firstDataCol="1"/>
  <pivotFields count="13">
    <pivotField dataField="1" showAll="0"/>
    <pivotField showAll="0"/>
    <pivotField showAll="0"/>
    <pivotField numFmtId="14" showAll="0"/>
    <pivotField axis="axisRow" showAll="0" sortType="descending">
      <items count="8">
        <item x="1"/>
        <item x="2"/>
        <item x="0"/>
        <item x="4"/>
        <item x="6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8"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5"/>
    </i>
    <i>
      <x v="6"/>
    </i>
    <i>
      <x v="2"/>
    </i>
    <i>
      <x v="3"/>
    </i>
    <i>
      <x v="4"/>
    </i>
    <i t="grand">
      <x/>
    </i>
  </rowItems>
  <colItems count="1">
    <i/>
  </colItems>
  <dataFields count="1">
    <dataField name="Contagem de Nome do Animal" fld="0" subtotal="count" baseField="0" baseItem="0"/>
  </dataFields>
  <formats count="12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4" type="button" dataOnly="0" labelOnly="1" outline="0" axis="axisRow" fieldPosition="0"/>
    </format>
    <format dxfId="33">
      <pivotArea dataOnly="0" labelOnly="1" fieldPosition="0">
        <references count="1">
          <reference field="4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4" count="0"/>
        </references>
      </pivotArea>
    </format>
    <format dxfId="6">
      <pivotArea dataOnly="0" labelOnly="1" grandRow="1" outline="0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Row="1" outline="0" fieldPosition="0"/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8B60C2-8EC9-4901-8C27-272E6090841B}" name="Tabela dinâmica2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F7" firstHeaderRow="1" firstDataRow="2" firstDataCol="1"/>
  <pivotFields count="13">
    <pivotField showAll="0"/>
    <pivotField axis="axisRow" showAll="0">
      <items count="3">
        <item x="0"/>
        <item x="1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numFmtId="168" showAll="0"/>
    <pivotField showAll="0"/>
    <pivotField showAll="0"/>
    <pivotField axis="axisCol" dataField="1" showAll="0">
      <items count="4">
        <item x="0"/>
        <item x="2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ntagem de Faixa Etária" fld="12" subtotal="count" baseField="0" baseItem="0"/>
  </dataFields>
  <formats count="10">
    <format dxfId="46">
      <pivotArea type="all" dataOnly="0" outline="0" fieldPosition="0"/>
    </format>
    <format dxfId="45">
      <pivotArea outline="0" collapsedLevelsAreSubtotals="1" fieldPosition="0"/>
    </format>
    <format dxfId="44">
      <pivotArea type="origin" dataOnly="0" labelOnly="1" outline="0" fieldPosition="0"/>
    </format>
    <format dxfId="43">
      <pivotArea field="12" type="button" dataOnly="0" labelOnly="1" outline="0" axis="axisCol" fieldPosition="0"/>
    </format>
    <format dxfId="42">
      <pivotArea type="topRight" dataOnly="0" labelOnly="1" outline="0" fieldPosition="0"/>
    </format>
    <format dxfId="41">
      <pivotArea field="1" type="button" dataOnly="0" labelOnly="1" outline="0" axis="axisRow" fieldPosition="0"/>
    </format>
    <format dxfId="40">
      <pivotArea dataOnly="0" labelOnly="1" fieldPosition="0">
        <references count="1">
          <reference field="1" count="0"/>
        </references>
      </pivotArea>
    </format>
    <format dxfId="39">
      <pivotArea dataOnly="0" labelOnly="1" grandRow="1" outline="0" fieldPosition="0"/>
    </format>
    <format dxfId="38">
      <pivotArea dataOnly="0" labelOnly="1" fieldPosition="0">
        <references count="1">
          <reference field="12" count="0"/>
        </references>
      </pivotArea>
    </format>
    <format dxfId="37">
      <pivotArea dataOnly="0" labelOnly="1" grandCol="1" outline="0" fieldPosition="0"/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38F2E5-59DC-45F1-AD53-B0F9DD00A99D}" name="Registros" displayName="Registros" ref="A1:M16" totalsRowShown="0" headerRowDxfId="47" dataDxfId="51" headerRowBorderDxfId="49" tableBorderDxfId="50" totalsRowBorderDxfId="48">
  <autoFilter ref="A1:M16" xr:uid="{3F38F2E5-59DC-45F1-AD53-B0F9DD00A99D}"/>
  <tableColumns count="13">
    <tableColumn id="1" xr3:uid="{1B64BD1D-4D57-4DD6-8FC9-A983432B28AD}" name="Nome do Animal" dataDxfId="22"/>
    <tableColumn id="2" xr3:uid="{F7D24EED-3ABC-4254-998F-61B3F7F32CAA}" name="Espécie" dataDxfId="21"/>
    <tableColumn id="3" xr3:uid="{399F4E8A-77E8-4472-99AC-369E7230C94D}" name="Raça" dataDxfId="20"/>
    <tableColumn id="4" xr3:uid="{67C36903-68C8-41D6-B21B-4EC35C4E06FD}" name="Data de Nascimento" dataDxfId="19"/>
    <tableColumn id="5" xr3:uid="{7F5C2D41-D6AB-4F72-AF28-546E175A9DBE}" name="Nome do Dono" dataDxfId="18"/>
    <tableColumn id="6" xr3:uid="{4298E399-CB53-4F2A-8ADD-76DD2B9C0B65}" name="Email do Dono" dataDxfId="17" dataCellStyle="Hiperlink"/>
    <tableColumn id="7" xr3:uid="{26255AD1-47EE-472A-9F21-C518E64EA634}" name="Telefone do Dono" dataDxfId="16"/>
    <tableColumn id="8" xr3:uid="{9E1E8B7C-A583-4497-BFFB-F9A78B1BA36E}" name="Endereço do Dono" dataDxfId="15"/>
    <tableColumn id="9" xr3:uid="{704B62A7-1F1D-4E2C-90F1-6918C56E9108}" name="Plano do Animal" dataDxfId="14"/>
    <tableColumn id="10" xr3:uid="{3D7D1E63-358B-4179-BE5F-7B739478CB12}" name="Preço do Plano" dataDxfId="13" dataCellStyle="Moeda"/>
    <tableColumn id="11" xr3:uid="{932F03F9-ECCA-45AA-9BC6-8A7C07835BE7}" name="Descrição do Plano" dataDxfId="12"/>
    <tableColumn id="12" xr3:uid="{9BAE6660-5951-4664-8545-4851E614EA85}" name="Idade" dataDxfId="24">
      <calculatedColumnFormula>DATEDIF(Registros[[#This Row],[Data de Nascimento]],TODAY(),"Y")</calculatedColumnFormula>
    </tableColumn>
    <tableColumn id="13" xr3:uid="{E7C13C7B-7F9E-4F39-AFF0-91D028651189}" name="Faixa Etária" dataDxfId="23">
      <calculatedColumnFormula>IF(Registros[[#This Row],[Idade]]&lt;=2,"Filhote",
IF(Registros[[#This Row],[Idade]] &lt;= 7,"Adulto","Idoso"))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.souza@email.com" TargetMode="External"/><Relationship Id="rId13" Type="http://schemas.openxmlformats.org/officeDocument/2006/relationships/hyperlink" Target="mailto:lucas.pereira@email.com" TargetMode="External"/><Relationship Id="rId3" Type="http://schemas.openxmlformats.org/officeDocument/2006/relationships/hyperlink" Target="mailto:carla.mendes@email.com" TargetMode="External"/><Relationship Id="rId7" Type="http://schemas.openxmlformats.org/officeDocument/2006/relationships/hyperlink" Target="mailto:joao.silva@email.com" TargetMode="External"/><Relationship Id="rId12" Type="http://schemas.openxmlformats.org/officeDocument/2006/relationships/hyperlink" Target="mailto:marcos.rocha@email.com" TargetMode="External"/><Relationship Id="rId2" Type="http://schemas.openxmlformats.org/officeDocument/2006/relationships/hyperlink" Target="mailto:ana.souza@email.com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joao.silva@email.com" TargetMode="External"/><Relationship Id="rId6" Type="http://schemas.openxmlformats.org/officeDocument/2006/relationships/hyperlink" Target="mailto:marcos.rocha@email.com" TargetMode="External"/><Relationship Id="rId11" Type="http://schemas.openxmlformats.org/officeDocument/2006/relationships/hyperlink" Target="mailto:pedro.lima@email.com" TargetMode="External"/><Relationship Id="rId5" Type="http://schemas.openxmlformats.org/officeDocument/2006/relationships/hyperlink" Target="mailto:julia.santos@email.com" TargetMode="External"/><Relationship Id="rId15" Type="http://schemas.openxmlformats.org/officeDocument/2006/relationships/hyperlink" Target="mailto:ana.souza@email.com" TargetMode="External"/><Relationship Id="rId10" Type="http://schemas.openxmlformats.org/officeDocument/2006/relationships/hyperlink" Target="mailto:julia.santos@email.com" TargetMode="External"/><Relationship Id="rId4" Type="http://schemas.openxmlformats.org/officeDocument/2006/relationships/hyperlink" Target="mailto:pedro.lima@email.com" TargetMode="External"/><Relationship Id="rId9" Type="http://schemas.openxmlformats.org/officeDocument/2006/relationships/hyperlink" Target="mailto:carla.mendes@email.com" TargetMode="External"/><Relationship Id="rId14" Type="http://schemas.openxmlformats.org/officeDocument/2006/relationships/hyperlink" Target="mailto:carla.mendes@e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D5C7-C101-4BB8-B583-C67CC3C03121}">
  <dimension ref="A1:M16"/>
  <sheetViews>
    <sheetView showGridLines="0" showRowColHeaders="0" tabSelected="1" workbookViewId="0">
      <selection activeCell="O21" sqref="O2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12.88671875" bestFit="1" customWidth="1"/>
    <col min="2" max="2" width="16.5546875" customWidth="1"/>
    <col min="3" max="3" width="9.44140625" customWidth="1"/>
    <col min="4" max="4" width="15.5546875" bestFit="1" customWidth="1"/>
    <col min="5" max="5" width="19.6640625" customWidth="1"/>
    <col min="6" max="6" width="14.88671875" customWidth="1"/>
    <col min="7" max="7" width="14.88671875" bestFit="1" customWidth="1"/>
    <col min="8" max="8" width="16.88671875" customWidth="1"/>
    <col min="9" max="9" width="17.6640625" customWidth="1"/>
    <col min="10" max="10" width="16.21875" customWidth="1"/>
    <col min="11" max="11" width="17.77734375" style="6" bestFit="1" customWidth="1"/>
    <col min="12" max="12" width="18.6640625" hidden="1" customWidth="1"/>
    <col min="13" max="13" width="0" hidden="1" customWidth="1"/>
    <col min="15" max="15" width="19" bestFit="1" customWidth="1"/>
    <col min="16" max="16" width="18.109375" bestFit="1" customWidth="1"/>
    <col min="17" max="17" width="6.109375" bestFit="1" customWidth="1"/>
    <col min="18" max="18" width="8.44140625" bestFit="1" customWidth="1"/>
    <col min="19" max="19" width="10.5546875" bestFit="1" customWidth="1"/>
    <col min="20" max="20" width="5.6640625" bestFit="1" customWidth="1"/>
    <col min="21" max="21" width="6.77734375" bestFit="1" customWidth="1"/>
    <col min="22" max="22" width="7.21875" bestFit="1" customWidth="1"/>
    <col min="23" max="23" width="10" bestFit="1" customWidth="1"/>
  </cols>
  <sheetData>
    <row r="1" spans="1:13" ht="28.8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6" t="s">
        <v>9</v>
      </c>
      <c r="K1" s="15" t="s">
        <v>10</v>
      </c>
      <c r="L1" s="7" t="s">
        <v>72</v>
      </c>
      <c r="M1" s="7" t="s">
        <v>73</v>
      </c>
    </row>
    <row r="2" spans="1:13" ht="28.8" x14ac:dyDescent="0.3">
      <c r="A2" s="1" t="s">
        <v>11</v>
      </c>
      <c r="B2" s="1" t="s">
        <v>12</v>
      </c>
      <c r="C2" s="1" t="s">
        <v>13</v>
      </c>
      <c r="D2" s="2">
        <v>43539</v>
      </c>
      <c r="E2" s="1" t="s">
        <v>14</v>
      </c>
      <c r="F2" s="3" t="s">
        <v>15</v>
      </c>
      <c r="G2" s="1" t="s">
        <v>16</v>
      </c>
      <c r="H2" s="1" t="s">
        <v>17</v>
      </c>
      <c r="I2" s="1" t="s">
        <v>18</v>
      </c>
      <c r="J2" s="5">
        <v>100</v>
      </c>
      <c r="K2" s="17" t="s">
        <v>19</v>
      </c>
      <c r="L2" s="8">
        <f ca="1">DATEDIF(Registros[[#This Row],[Data de Nascimento]],TODAY(),"Y")</f>
        <v>6</v>
      </c>
      <c r="M2" s="9" t="str">
        <f ca="1">IF(Registros[[#This Row],[Idade]]&lt;=2,"Filhote",
IF(Registros[[#This Row],[Idade]] &lt;= 7,"Adulto","Idoso"))</f>
        <v>Adulto</v>
      </c>
    </row>
    <row r="3" spans="1:13" ht="28.8" x14ac:dyDescent="0.3">
      <c r="A3" s="1" t="s">
        <v>20</v>
      </c>
      <c r="B3" s="1" t="s">
        <v>21</v>
      </c>
      <c r="C3" s="1" t="s">
        <v>22</v>
      </c>
      <c r="D3" s="2">
        <v>44034</v>
      </c>
      <c r="E3" s="1" t="s">
        <v>23</v>
      </c>
      <c r="F3" s="3" t="s">
        <v>24</v>
      </c>
      <c r="G3" s="1" t="s">
        <v>25</v>
      </c>
      <c r="H3" s="1" t="s">
        <v>26</v>
      </c>
      <c r="I3" s="1" t="s">
        <v>27</v>
      </c>
      <c r="J3" s="5">
        <v>200</v>
      </c>
      <c r="K3" s="17" t="s">
        <v>28</v>
      </c>
      <c r="L3" s="10">
        <f ca="1">DATEDIF(Registros[[#This Row],[Data de Nascimento]],TODAY(),"Y")</f>
        <v>5</v>
      </c>
      <c r="M3" s="9" t="str">
        <f ca="1">IF(Registros[[#This Row],[Idade]]&lt;=2,"Filhote",
IF(Registros[[#This Row],[Idade]] &lt;= 7,"Adulto","Idoso"))</f>
        <v>Adulto</v>
      </c>
    </row>
    <row r="4" spans="1:13" ht="28.8" x14ac:dyDescent="0.3">
      <c r="A4" s="1" t="s">
        <v>29</v>
      </c>
      <c r="B4" s="1" t="s">
        <v>12</v>
      </c>
      <c r="C4" s="1" t="s">
        <v>30</v>
      </c>
      <c r="D4" s="2">
        <v>43409</v>
      </c>
      <c r="E4" s="1" t="s">
        <v>31</v>
      </c>
      <c r="F4" s="3" t="s">
        <v>32</v>
      </c>
      <c r="G4" s="1" t="s">
        <v>33</v>
      </c>
      <c r="H4" s="1" t="s">
        <v>34</v>
      </c>
      <c r="I4" s="1" t="s">
        <v>35</v>
      </c>
      <c r="J4" s="5">
        <v>300</v>
      </c>
      <c r="K4" s="17" t="s">
        <v>36</v>
      </c>
      <c r="L4" s="10">
        <f ca="1">DATEDIF(Registros[[#This Row],[Data de Nascimento]],TODAY(),"Y")</f>
        <v>7</v>
      </c>
      <c r="M4" s="9" t="str">
        <f ca="1">IF(Registros[[#This Row],[Idade]]&lt;=2,"Filhote",
IF(Registros[[#This Row],[Idade]] &lt;= 7,"Adulto","Idoso"))</f>
        <v>Adulto</v>
      </c>
    </row>
    <row r="5" spans="1:13" ht="28.8" x14ac:dyDescent="0.3">
      <c r="A5" s="1" t="s">
        <v>37</v>
      </c>
      <c r="B5" s="1" t="s">
        <v>21</v>
      </c>
      <c r="C5" s="1" t="s">
        <v>38</v>
      </c>
      <c r="D5" s="2">
        <v>43130</v>
      </c>
      <c r="E5" s="1" t="s">
        <v>39</v>
      </c>
      <c r="F5" s="3" t="s">
        <v>40</v>
      </c>
      <c r="G5" s="1" t="s">
        <v>41</v>
      </c>
      <c r="H5" s="1" t="s">
        <v>42</v>
      </c>
      <c r="I5" s="1" t="s">
        <v>18</v>
      </c>
      <c r="J5" s="5">
        <v>100</v>
      </c>
      <c r="K5" s="17" t="s">
        <v>19</v>
      </c>
      <c r="L5" s="10">
        <f ca="1">DATEDIF(Registros[[#This Row],[Data de Nascimento]],TODAY(),"Y")</f>
        <v>7</v>
      </c>
      <c r="M5" s="9" t="str">
        <f ca="1">IF(Registros[[#This Row],[Idade]]&lt;=2,"Filhote",
IF(Registros[[#This Row],[Idade]] &lt;= 7,"Adulto","Idoso"))</f>
        <v>Adulto</v>
      </c>
    </row>
    <row r="6" spans="1:13" ht="28.8" x14ac:dyDescent="0.3">
      <c r="A6" s="1" t="s">
        <v>43</v>
      </c>
      <c r="B6" s="1" t="s">
        <v>12</v>
      </c>
      <c r="C6" s="1" t="s">
        <v>44</v>
      </c>
      <c r="D6" s="2">
        <v>44359</v>
      </c>
      <c r="E6" s="1" t="s">
        <v>45</v>
      </c>
      <c r="F6" s="3" t="s">
        <v>46</v>
      </c>
      <c r="G6" s="1" t="s">
        <v>47</v>
      </c>
      <c r="H6" s="1" t="s">
        <v>48</v>
      </c>
      <c r="I6" s="1" t="s">
        <v>27</v>
      </c>
      <c r="J6" s="5">
        <v>200</v>
      </c>
      <c r="K6" s="17" t="s">
        <v>28</v>
      </c>
      <c r="L6" s="10">
        <f ca="1">DATEDIF(Registros[[#This Row],[Data de Nascimento]],TODAY(),"Y")</f>
        <v>4</v>
      </c>
      <c r="M6" s="9" t="str">
        <f ca="1">IF(Registros[[#This Row],[Idade]]&lt;=2,"Filhote",
IF(Registros[[#This Row],[Idade]] &lt;= 7,"Adulto","Idoso"))</f>
        <v>Adulto</v>
      </c>
    </row>
    <row r="7" spans="1:13" ht="28.8" x14ac:dyDescent="0.3">
      <c r="A7" s="1" t="s">
        <v>49</v>
      </c>
      <c r="B7" s="1" t="s">
        <v>21</v>
      </c>
      <c r="C7" s="1" t="s">
        <v>50</v>
      </c>
      <c r="D7" s="2">
        <v>42981</v>
      </c>
      <c r="E7" s="1" t="s">
        <v>51</v>
      </c>
      <c r="F7" s="3" t="s">
        <v>52</v>
      </c>
      <c r="G7" s="1" t="s">
        <v>53</v>
      </c>
      <c r="H7" s="1" t="s">
        <v>54</v>
      </c>
      <c r="I7" s="1" t="s">
        <v>35</v>
      </c>
      <c r="J7" s="5">
        <v>300</v>
      </c>
      <c r="K7" s="17" t="s">
        <v>36</v>
      </c>
      <c r="L7" s="10">
        <f ca="1">DATEDIF(Registros[[#This Row],[Data de Nascimento]],TODAY(),"Y")</f>
        <v>8</v>
      </c>
      <c r="M7" s="9" t="str">
        <f ca="1">IF(Registros[[#This Row],[Idade]]&lt;=2,"Filhote",
IF(Registros[[#This Row],[Idade]] &lt;= 7,"Adulto","Idoso"))</f>
        <v>Idoso</v>
      </c>
    </row>
    <row r="8" spans="1:13" ht="28.8" x14ac:dyDescent="0.3">
      <c r="A8" s="1" t="s">
        <v>55</v>
      </c>
      <c r="B8" s="1" t="s">
        <v>12</v>
      </c>
      <c r="C8" s="1" t="s">
        <v>13</v>
      </c>
      <c r="D8" s="2">
        <v>43879</v>
      </c>
      <c r="E8" s="1" t="s">
        <v>14</v>
      </c>
      <c r="F8" s="3" t="s">
        <v>15</v>
      </c>
      <c r="G8" s="1" t="s">
        <v>16</v>
      </c>
      <c r="H8" s="1" t="s">
        <v>17</v>
      </c>
      <c r="I8" s="1" t="s">
        <v>27</v>
      </c>
      <c r="J8" s="5">
        <v>200</v>
      </c>
      <c r="K8" s="17" t="s">
        <v>28</v>
      </c>
      <c r="L8" s="10">
        <f ca="1">DATEDIF(Registros[[#This Row],[Data de Nascimento]],TODAY(),"Y")</f>
        <v>5</v>
      </c>
      <c r="M8" s="9" t="str">
        <f ca="1">IF(Registros[[#This Row],[Idade]]&lt;=2,"Filhote",
IF(Registros[[#This Row],[Idade]] &lt;= 7,"Adulto","Idoso"))</f>
        <v>Adulto</v>
      </c>
    </row>
    <row r="9" spans="1:13" ht="28.8" x14ac:dyDescent="0.3">
      <c r="A9" s="1" t="s">
        <v>56</v>
      </c>
      <c r="B9" s="1" t="s">
        <v>21</v>
      </c>
      <c r="C9" s="1" t="s">
        <v>22</v>
      </c>
      <c r="D9" s="2">
        <v>44555</v>
      </c>
      <c r="E9" s="1" t="s">
        <v>23</v>
      </c>
      <c r="F9" s="3" t="s">
        <v>24</v>
      </c>
      <c r="G9" s="1" t="s">
        <v>25</v>
      </c>
      <c r="H9" s="1" t="s">
        <v>26</v>
      </c>
      <c r="I9" s="1" t="s">
        <v>35</v>
      </c>
      <c r="J9" s="5">
        <v>300</v>
      </c>
      <c r="K9" s="17" t="s">
        <v>36</v>
      </c>
      <c r="L9" s="10">
        <f ca="1">DATEDIF(Registros[[#This Row],[Data de Nascimento]],TODAY(),"Y")</f>
        <v>3</v>
      </c>
      <c r="M9" s="9" t="str">
        <f ca="1">IF(Registros[[#This Row],[Idade]]&lt;=2,"Filhote",
IF(Registros[[#This Row],[Idade]] &lt;= 7,"Adulto","Idoso"))</f>
        <v>Adulto</v>
      </c>
    </row>
    <row r="10" spans="1:13" ht="28.8" x14ac:dyDescent="0.3">
      <c r="A10" s="1" t="s">
        <v>57</v>
      </c>
      <c r="B10" s="1" t="s">
        <v>12</v>
      </c>
      <c r="C10" s="1" t="s">
        <v>30</v>
      </c>
      <c r="D10" s="2">
        <v>43686</v>
      </c>
      <c r="E10" s="1" t="s">
        <v>31</v>
      </c>
      <c r="F10" s="3" t="s">
        <v>32</v>
      </c>
      <c r="G10" s="1" t="s">
        <v>33</v>
      </c>
      <c r="H10" s="1" t="s">
        <v>34</v>
      </c>
      <c r="I10" s="1" t="s">
        <v>18</v>
      </c>
      <c r="J10" s="5">
        <v>100</v>
      </c>
      <c r="K10" s="17" t="s">
        <v>19</v>
      </c>
      <c r="L10" s="10">
        <f ca="1">DATEDIF(Registros[[#This Row],[Data de Nascimento]],TODAY(),"Y")</f>
        <v>6</v>
      </c>
      <c r="M10" s="9" t="str">
        <f ca="1">IF(Registros[[#This Row],[Idade]]&lt;=2,"Filhote",
IF(Registros[[#This Row],[Idade]] &lt;= 7,"Adulto","Idoso"))</f>
        <v>Adulto</v>
      </c>
    </row>
    <row r="11" spans="1:13" ht="28.8" x14ac:dyDescent="0.3">
      <c r="A11" s="1" t="s">
        <v>58</v>
      </c>
      <c r="B11" s="1" t="s">
        <v>12</v>
      </c>
      <c r="C11" s="1" t="s">
        <v>44</v>
      </c>
      <c r="D11" s="2">
        <v>45396</v>
      </c>
      <c r="E11" s="1" t="s">
        <v>45</v>
      </c>
      <c r="F11" s="3" t="s">
        <v>46</v>
      </c>
      <c r="G11" s="1" t="s">
        <v>47</v>
      </c>
      <c r="H11" s="1" t="s">
        <v>48</v>
      </c>
      <c r="I11" s="1" t="s">
        <v>35</v>
      </c>
      <c r="J11" s="5">
        <v>300</v>
      </c>
      <c r="K11" s="17" t="s">
        <v>36</v>
      </c>
      <c r="L11" s="10">
        <f ca="1">DATEDIF(Registros[[#This Row],[Data de Nascimento]],TODAY(),"Y")</f>
        <v>1</v>
      </c>
      <c r="M11" s="9" t="str">
        <f ca="1">IF(Registros[[#This Row],[Idade]]&lt;=2,"Filhote",
IF(Registros[[#This Row],[Idade]] &lt;= 7,"Adulto","Idoso"))</f>
        <v>Filhote</v>
      </c>
    </row>
    <row r="12" spans="1:13" ht="28.8" x14ac:dyDescent="0.3">
      <c r="A12" s="1" t="s">
        <v>59</v>
      </c>
      <c r="B12" s="1" t="s">
        <v>21</v>
      </c>
      <c r="C12" s="1" t="s">
        <v>38</v>
      </c>
      <c r="D12" s="2">
        <v>43237</v>
      </c>
      <c r="E12" s="1" t="s">
        <v>39</v>
      </c>
      <c r="F12" s="3" t="s">
        <v>40</v>
      </c>
      <c r="G12" s="1" t="s">
        <v>41</v>
      </c>
      <c r="H12" s="1" t="s">
        <v>42</v>
      </c>
      <c r="I12" s="1" t="s">
        <v>27</v>
      </c>
      <c r="J12" s="5">
        <v>200</v>
      </c>
      <c r="K12" s="17" t="s">
        <v>28</v>
      </c>
      <c r="L12" s="10">
        <f ca="1">DATEDIF(Registros[[#This Row],[Data de Nascimento]],TODAY(),"Y")</f>
        <v>7</v>
      </c>
      <c r="M12" s="9" t="str">
        <f ca="1">IF(Registros[[#This Row],[Idade]]&lt;=2,"Filhote",
IF(Registros[[#This Row],[Idade]] &lt;= 7,"Adulto","Idoso"))</f>
        <v>Adulto</v>
      </c>
    </row>
    <row r="13" spans="1:13" ht="28.8" x14ac:dyDescent="0.3">
      <c r="A13" s="1" t="s">
        <v>60</v>
      </c>
      <c r="B13" s="1" t="s">
        <v>21</v>
      </c>
      <c r="C13" s="1" t="s">
        <v>50</v>
      </c>
      <c r="D13" s="2">
        <v>43767</v>
      </c>
      <c r="E13" s="1" t="s">
        <v>51</v>
      </c>
      <c r="F13" s="3" t="s">
        <v>52</v>
      </c>
      <c r="G13" s="1" t="s">
        <v>53</v>
      </c>
      <c r="H13" s="1" t="s">
        <v>54</v>
      </c>
      <c r="I13" s="1" t="s">
        <v>18</v>
      </c>
      <c r="J13" s="5">
        <v>100</v>
      </c>
      <c r="K13" s="17" t="s">
        <v>19</v>
      </c>
      <c r="L13" s="10">
        <f ca="1">DATEDIF(Registros[[#This Row],[Data de Nascimento]],TODAY(),"Y")</f>
        <v>6</v>
      </c>
      <c r="M13" s="9" t="str">
        <f ca="1">IF(Registros[[#This Row],[Idade]]&lt;=2,"Filhote",
IF(Registros[[#This Row],[Idade]] &lt;= 7,"Adulto","Idoso"))</f>
        <v>Adulto</v>
      </c>
    </row>
    <row r="14" spans="1:13" ht="28.8" x14ac:dyDescent="0.3">
      <c r="A14" s="1" t="s">
        <v>61</v>
      </c>
      <c r="B14" s="1" t="s">
        <v>12</v>
      </c>
      <c r="C14" s="1" t="s">
        <v>62</v>
      </c>
      <c r="D14" s="2">
        <v>43841</v>
      </c>
      <c r="E14" s="1" t="s">
        <v>63</v>
      </c>
      <c r="F14" s="3" t="s">
        <v>64</v>
      </c>
      <c r="G14" s="1" t="s">
        <v>65</v>
      </c>
      <c r="H14" s="1" t="s">
        <v>66</v>
      </c>
      <c r="I14" s="1" t="s">
        <v>35</v>
      </c>
      <c r="J14" s="5">
        <v>300</v>
      </c>
      <c r="K14" s="17" t="s">
        <v>36</v>
      </c>
      <c r="L14" s="10">
        <f ca="1">DATEDIF(Registros[[#This Row],[Data de Nascimento]],TODAY(),"Y")</f>
        <v>5</v>
      </c>
      <c r="M14" s="9" t="str">
        <f ca="1">IF(Registros[[#This Row],[Idade]]&lt;=2,"Filhote",
IF(Registros[[#This Row],[Idade]] &lt;= 7,"Adulto","Idoso"))</f>
        <v>Adulto</v>
      </c>
    </row>
    <row r="15" spans="1:13" ht="28.8" x14ac:dyDescent="0.3">
      <c r="A15" s="1" t="s">
        <v>67</v>
      </c>
      <c r="B15" s="1" t="s">
        <v>12</v>
      </c>
      <c r="C15" s="1" t="s">
        <v>30</v>
      </c>
      <c r="D15" s="2">
        <v>42923</v>
      </c>
      <c r="E15" s="1" t="s">
        <v>31</v>
      </c>
      <c r="F15" s="3" t="s">
        <v>32</v>
      </c>
      <c r="G15" s="1" t="s">
        <v>33</v>
      </c>
      <c r="H15" s="1" t="s">
        <v>34</v>
      </c>
      <c r="I15" s="1" t="s">
        <v>27</v>
      </c>
      <c r="J15" s="5">
        <v>200</v>
      </c>
      <c r="K15" s="17" t="s">
        <v>28</v>
      </c>
      <c r="L15" s="10">
        <f ca="1">DATEDIF(Registros[[#This Row],[Data de Nascimento]],TODAY(),"Y")</f>
        <v>8</v>
      </c>
      <c r="M15" s="9" t="str">
        <f ca="1">IF(Registros[[#This Row],[Idade]]&lt;=2,"Filhote",
IF(Registros[[#This Row],[Idade]] &lt;= 7,"Adulto","Idoso"))</f>
        <v>Idoso</v>
      </c>
    </row>
    <row r="16" spans="1:13" ht="28.8" x14ac:dyDescent="0.3">
      <c r="A16" s="1" t="s">
        <v>68</v>
      </c>
      <c r="B16" s="1" t="s">
        <v>21</v>
      </c>
      <c r="C16" s="1" t="s">
        <v>22</v>
      </c>
      <c r="D16" s="2">
        <v>44622</v>
      </c>
      <c r="E16" s="1" t="s">
        <v>23</v>
      </c>
      <c r="F16" s="3" t="s">
        <v>24</v>
      </c>
      <c r="G16" s="1" t="s">
        <v>25</v>
      </c>
      <c r="H16" s="1" t="s">
        <v>26</v>
      </c>
      <c r="I16" s="1" t="s">
        <v>18</v>
      </c>
      <c r="J16" s="5">
        <v>100</v>
      </c>
      <c r="K16" s="17" t="s">
        <v>19</v>
      </c>
      <c r="L16" s="11">
        <f ca="1">DATEDIF(Registros[[#This Row],[Data de Nascimento]],TODAY(),"Y")</f>
        <v>3</v>
      </c>
      <c r="M16" s="9" t="str">
        <f ca="1">IF(Registros[[#This Row],[Idade]]&lt;=2,"Filhote",
IF(Registros[[#This Row],[Idade]] &lt;= 7,"Adulto","Idoso"))</f>
        <v>Adulto</v>
      </c>
    </row>
  </sheetData>
  <hyperlinks>
    <hyperlink ref="F2" r:id="rId1" display="mailto:joao.silva@email.com" xr:uid="{A3F85883-4AD0-4729-8356-7B6286083905}"/>
    <hyperlink ref="F3" r:id="rId2" display="mailto:ana.souza@email.com" xr:uid="{F9D6059E-EB64-4AEC-AE13-C358A8EF3D74}"/>
    <hyperlink ref="F4" r:id="rId3" display="mailto:carla.mendes@email.com" xr:uid="{1206C138-C394-493D-B4DA-6CB90CB6527C}"/>
    <hyperlink ref="F5" r:id="rId4" display="mailto:pedro.lima@email.com" xr:uid="{CBDE36C4-A897-49E7-A276-5D6E5AFBB804}"/>
    <hyperlink ref="F6" r:id="rId5" display="mailto:julia.santos@email.com" xr:uid="{9E1E3A89-550C-462C-B2E7-42EE10D4AA05}"/>
    <hyperlink ref="F7" r:id="rId6" display="mailto:marcos.rocha@email.com" xr:uid="{400F7626-BD68-491B-AF90-074C6417476A}"/>
    <hyperlink ref="F8" r:id="rId7" display="mailto:joao.silva@email.com" xr:uid="{2ED6FAEF-A085-4DFC-AD56-FB5B1F306708}"/>
    <hyperlink ref="F9" r:id="rId8" display="mailto:ana.souza@email.com" xr:uid="{CC0975EC-6687-4C5D-9169-739A5F4D0936}"/>
    <hyperlink ref="F10" r:id="rId9" display="mailto:carla.mendes@email.com" xr:uid="{2CFB37B9-CC05-4B10-8C3B-191DB6EE411D}"/>
    <hyperlink ref="F11" r:id="rId10" display="mailto:julia.santos@email.com" xr:uid="{EFA92BBF-BE0E-40D7-A83B-A46C25CB262D}"/>
    <hyperlink ref="F12" r:id="rId11" display="mailto:pedro.lima@email.com" xr:uid="{C32CB891-D295-40C1-8CC3-DC81D85668C9}"/>
    <hyperlink ref="F13" r:id="rId12" display="mailto:marcos.rocha@email.com" xr:uid="{66AF3CA8-E1ED-4520-8EE3-3B60F5459BA1}"/>
    <hyperlink ref="F14" r:id="rId13" display="mailto:lucas.pereira@email.com" xr:uid="{0EEB79E3-8302-4A85-A16D-DA3278CCFC11}"/>
    <hyperlink ref="F15" r:id="rId14" display="mailto:carla.mendes@email.com" xr:uid="{5EFB3691-FA8F-4AEA-AA1B-984F6E26BBF8}"/>
    <hyperlink ref="F16" r:id="rId15" display="mailto:ana.souza@email.com" xr:uid="{EB474CCC-6C82-48D8-B727-2432B9F249ED}"/>
  </hyperlinks>
  <pageMargins left="0.511811024" right="0.511811024" top="0.78740157499999996" bottom="0.78740157499999996" header="0.31496062000000002" footer="0.31496062000000002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CB62-BF1E-4AD1-B6FD-91724DAA491C}">
  <dimension ref="B2:F19"/>
  <sheetViews>
    <sheetView showGridLines="0" workbookViewId="0">
      <selection activeCell="H8" sqref="H8"/>
    </sheetView>
  </sheetViews>
  <sheetFormatPr defaultRowHeight="14.4" x14ac:dyDescent="0.3"/>
  <cols>
    <col min="2" max="2" width="22.21875" bestFit="1" customWidth="1"/>
    <col min="3" max="3" width="26.33203125" bestFit="1" customWidth="1"/>
    <col min="4" max="4" width="6.77734375" bestFit="1" customWidth="1"/>
    <col min="5" max="5" width="18.44140625" customWidth="1"/>
    <col min="6" max="6" width="23" customWidth="1"/>
  </cols>
  <sheetData>
    <row r="2" spans="2:6" ht="20.399999999999999" customHeight="1" x14ac:dyDescent="0.3">
      <c r="B2" s="18" t="s">
        <v>73</v>
      </c>
      <c r="C2" s="18"/>
      <c r="D2" s="18"/>
      <c r="E2" s="18"/>
      <c r="F2" s="18"/>
    </row>
    <row r="3" spans="2:6" ht="19.2" customHeight="1" x14ac:dyDescent="0.3">
      <c r="B3" s="12" t="s">
        <v>77</v>
      </c>
      <c r="C3" s="12" t="s">
        <v>71</v>
      </c>
      <c r="D3" s="4"/>
      <c r="E3" s="4"/>
      <c r="F3" s="4"/>
    </row>
    <row r="4" spans="2:6" x14ac:dyDescent="0.3">
      <c r="B4" s="12" t="s">
        <v>69</v>
      </c>
      <c r="C4" s="4" t="s">
        <v>74</v>
      </c>
      <c r="D4" s="4" t="s">
        <v>75</v>
      </c>
      <c r="E4" s="4" t="s">
        <v>76</v>
      </c>
      <c r="F4" s="4" t="s">
        <v>70</v>
      </c>
    </row>
    <row r="5" spans="2:6" x14ac:dyDescent="0.3">
      <c r="B5" s="13" t="s">
        <v>12</v>
      </c>
      <c r="C5" s="14">
        <v>6</v>
      </c>
      <c r="D5" s="14">
        <v>1</v>
      </c>
      <c r="E5" s="14">
        <v>1</v>
      </c>
      <c r="F5" s="14">
        <v>8</v>
      </c>
    </row>
    <row r="6" spans="2:6" x14ac:dyDescent="0.3">
      <c r="B6" s="13" t="s">
        <v>21</v>
      </c>
      <c r="C6" s="14">
        <v>6</v>
      </c>
      <c r="D6" s="14"/>
      <c r="E6" s="14">
        <v>1</v>
      </c>
      <c r="F6" s="14">
        <v>7</v>
      </c>
    </row>
    <row r="7" spans="2:6" x14ac:dyDescent="0.3">
      <c r="B7" s="13" t="s">
        <v>70</v>
      </c>
      <c r="C7" s="14">
        <v>12</v>
      </c>
      <c r="D7" s="14">
        <v>1</v>
      </c>
      <c r="E7" s="14">
        <v>2</v>
      </c>
      <c r="F7" s="14">
        <v>15</v>
      </c>
    </row>
    <row r="10" spans="2:6" ht="22.8" customHeight="1" x14ac:dyDescent="0.3">
      <c r="B10" s="18" t="s">
        <v>79</v>
      </c>
      <c r="C10" s="18"/>
      <c r="D10" s="19"/>
      <c r="E10" s="18" t="s">
        <v>81</v>
      </c>
      <c r="F10" s="18"/>
    </row>
    <row r="11" spans="2:6" x14ac:dyDescent="0.3">
      <c r="B11" s="12" t="s">
        <v>69</v>
      </c>
      <c r="C11" s="4" t="s">
        <v>78</v>
      </c>
      <c r="E11" s="12" t="s">
        <v>69</v>
      </c>
      <c r="F11" s="4" t="s">
        <v>80</v>
      </c>
    </row>
    <row r="12" spans="2:6" x14ac:dyDescent="0.3">
      <c r="B12" s="20" t="s">
        <v>23</v>
      </c>
      <c r="C12" s="21">
        <v>3</v>
      </c>
      <c r="D12" s="22"/>
      <c r="E12" s="20" t="s">
        <v>23</v>
      </c>
      <c r="F12" s="23">
        <v>600</v>
      </c>
    </row>
    <row r="13" spans="2:6" x14ac:dyDescent="0.3">
      <c r="B13" s="20" t="s">
        <v>31</v>
      </c>
      <c r="C13" s="21">
        <v>3</v>
      </c>
      <c r="D13" s="22"/>
      <c r="E13" s="20" t="s">
        <v>31</v>
      </c>
      <c r="F13" s="23">
        <v>600</v>
      </c>
    </row>
    <row r="14" spans="2:6" x14ac:dyDescent="0.3">
      <c r="B14" s="20" t="s">
        <v>51</v>
      </c>
      <c r="C14" s="21">
        <v>2</v>
      </c>
      <c r="D14" s="22"/>
      <c r="E14" s="20" t="s">
        <v>45</v>
      </c>
      <c r="F14" s="23">
        <v>500</v>
      </c>
    </row>
    <row r="15" spans="2:6" x14ac:dyDescent="0.3">
      <c r="B15" s="20" t="s">
        <v>39</v>
      </c>
      <c r="C15" s="21">
        <v>2</v>
      </c>
      <c r="D15" s="22"/>
      <c r="E15" s="20" t="s">
        <v>70</v>
      </c>
      <c r="F15" s="23">
        <v>1700</v>
      </c>
    </row>
    <row r="16" spans="2:6" x14ac:dyDescent="0.3">
      <c r="B16" s="20" t="s">
        <v>14</v>
      </c>
      <c r="C16" s="21">
        <v>2</v>
      </c>
      <c r="D16" s="22"/>
      <c r="E16" s="22"/>
      <c r="F16" s="22"/>
    </row>
    <row r="17" spans="2:6" x14ac:dyDescent="0.3">
      <c r="B17" s="20" t="s">
        <v>45</v>
      </c>
      <c r="C17" s="21">
        <v>2</v>
      </c>
      <c r="D17" s="22"/>
      <c r="E17" s="22"/>
      <c r="F17" s="22"/>
    </row>
    <row r="18" spans="2:6" x14ac:dyDescent="0.3">
      <c r="B18" s="20" t="s">
        <v>63</v>
      </c>
      <c r="C18" s="21">
        <v>1</v>
      </c>
      <c r="D18" s="22"/>
      <c r="E18" s="22"/>
      <c r="F18" s="22"/>
    </row>
    <row r="19" spans="2:6" x14ac:dyDescent="0.3">
      <c r="B19" s="20" t="s">
        <v>70</v>
      </c>
      <c r="C19" s="21">
        <v>15</v>
      </c>
      <c r="D19" s="22"/>
      <c r="E19" s="22"/>
      <c r="F19" s="22"/>
    </row>
  </sheetData>
  <mergeCells count="3">
    <mergeCell ref="B2:F2"/>
    <mergeCell ref="B10:C10"/>
    <mergeCell ref="E10:F10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Tabelas 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Almeida de Oliveira</dc:creator>
  <cp:lastModifiedBy>Bruno Almeida de Oliveira</cp:lastModifiedBy>
  <dcterms:created xsi:type="dcterms:W3CDTF">2025-11-09T01:35:32Z</dcterms:created>
  <dcterms:modified xsi:type="dcterms:W3CDTF">2025-11-09T08:25:10Z</dcterms:modified>
</cp:coreProperties>
</file>